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Vectors" sheetId="1" state="visible" r:id="rId1"/>
    <sheet xmlns:r="http://schemas.openxmlformats.org/officeDocument/2006/relationships" name="Tiết Khí Reference" sheetId="2" state="visible" r:id="rId2"/>
    <sheet xmlns:r="http://schemas.openxmlformats.org/officeDocument/2006/relationships" name="Tháng Can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9"/>
    </font>
    <font>
      <name val="Arial"/>
      <color rgb="00808080"/>
      <sz val="9"/>
    </font>
    <font>
      <name val="Arial"/>
      <color rgb="007F6000"/>
      <sz val="9"/>
    </font>
    <font>
      <name val="Arial"/>
      <i val="1"/>
      <color rgb="00404040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42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6" customWidth="1" min="20" max="20"/>
  </cols>
  <sheetData>
    <row r="1" ht="18" customHeight="1">
      <c r="A1" s="1" t="inlineStr">
        <is>
          <t>BÁT TỰ / TỨ TRỤ — AUDIT TEST VECTORS  |  20 Edge Cases</t>
        </is>
      </c>
    </row>
    <row r="2" ht="32" customHeight="1">
      <c r="A2" s="2" t="inlineStr">
        <is>
          <t>#</t>
        </is>
      </c>
      <c r="B2" s="2" t="inlineStr">
        <is>
          <t>INPUT</t>
        </is>
      </c>
      <c r="F2" s="2" t="inlineStr">
        <is>
          <t>API OUTPUT (our system)</t>
        </is>
      </c>
      <c r="J2" s="3" t="inlineStr"/>
      <c r="K2" s="2" t="inlineStr">
        <is>
          <t>EXTERNAL TOOL (manual entry)</t>
        </is>
      </c>
      <c r="O2" s="2" t="inlineStr">
        <is>
          <t>COMPARISON</t>
        </is>
      </c>
      <c r="T2" s="2" t="inlineStr">
        <is>
          <t>NOTES</t>
        </is>
      </c>
    </row>
    <row r="3" ht="32" customHeight="1">
      <c r="A3" s="4" t="inlineStr">
        <is>
          <t>#</t>
        </is>
      </c>
      <c r="B3" s="4" t="inlineStr">
        <is>
          <t>Birth Date
(YYYY-MM-DD)</t>
        </is>
      </c>
      <c r="C3" s="4" t="inlineStr">
        <is>
          <t>Birth Time
(HH:MM UTC+7)</t>
        </is>
      </c>
      <c r="D3" s="4" t="inlineStr">
        <is>
          <t>Edge Case Description</t>
        </is>
      </c>
      <c r="E3" s="4" t="inlineStr">
        <is>
          <t>Risk Category</t>
        </is>
      </c>
      <c r="F3" s="4" t="inlineStr">
        <is>
          <t>API
Năm Trụ</t>
        </is>
      </c>
      <c r="G3" s="4" t="inlineStr">
        <is>
          <t>API
Tháng Trụ</t>
        </is>
      </c>
      <c r="H3" s="4" t="inlineStr">
        <is>
          <t>API
Ngày Trụ</t>
        </is>
      </c>
      <c r="I3" s="4" t="inlineStr">
        <is>
          <t>API
Giờ Trụ</t>
        </is>
      </c>
      <c r="J3" s="4" t="inlineStr"/>
      <c r="K3" s="4" t="inlineStr">
        <is>
          <t>Tool
Năm Trụ</t>
        </is>
      </c>
      <c r="L3" s="4" t="inlineStr">
        <is>
          <t>Tool
Tháng Trụ</t>
        </is>
      </c>
      <c r="M3" s="4" t="inlineStr">
        <is>
          <t>Tool
Ngày Trụ</t>
        </is>
      </c>
      <c r="N3" s="4" t="inlineStr">
        <is>
          <t>Tool
Giờ Trụ</t>
        </is>
      </c>
      <c r="O3" s="4" t="inlineStr">
        <is>
          <t>Year
Match</t>
        </is>
      </c>
      <c r="P3" s="4" t="inlineStr">
        <is>
          <t>Month
Match</t>
        </is>
      </c>
      <c r="Q3" s="4" t="inlineStr">
        <is>
          <t>Day
Match</t>
        </is>
      </c>
      <c r="R3" s="4" t="inlineStr">
        <is>
          <t>Hour
Match</t>
        </is>
      </c>
      <c r="S3" s="4" t="inlineStr">
        <is>
          <t>OVERALL</t>
        </is>
      </c>
      <c r="T3" s="4" t="inlineStr">
        <is>
          <t>Notes / Lập Xuân boundary</t>
        </is>
      </c>
    </row>
    <row r="4">
      <c r="A4" s="5" t="n">
        <v>1</v>
      </c>
      <c r="B4" s="6" t="inlineStr">
        <is>
          <t>2024-02-03</t>
        </is>
      </c>
      <c r="C4" s="6" t="inlineStr">
        <is>
          <t>12:00</t>
        </is>
      </c>
      <c r="D4" s="7" t="inlineStr">
        <is>
          <t>1 ngày TRƯỚC Lập Xuân 2024 (4/2/2024 ~16:27)</t>
        </is>
      </c>
      <c r="E4" s="8" t="inlineStr">
        <is>
          <t>🔴 Năm Trụ boundary</t>
        </is>
      </c>
      <c r="F4" s="9" t="inlineStr">
        <is>
          <t>Quý Mão</t>
        </is>
      </c>
      <c r="G4" s="10" t="inlineStr">
        <is>
          <t>?</t>
        </is>
      </c>
      <c r="H4" s="9" t="inlineStr">
        <is>
          <t>Nhâm Ngọ</t>
        </is>
      </c>
      <c r="I4" s="9" t="inlineStr">
        <is>
          <t>Bính Ngọ</t>
        </is>
      </c>
      <c r="J4" s="11" t="inlineStr"/>
      <c r="K4" s="12" t="inlineStr"/>
      <c r="L4" s="12" t="inlineStr"/>
      <c r="M4" s="12" t="inlineStr"/>
      <c r="N4" s="12" t="inlineStr"/>
      <c r="O4" s="11">
        <f>IF(K4="","–",IF(F4=K4,"✓","✗"))</f>
        <v/>
      </c>
      <c r="P4" s="11">
        <f>IF(L4="","–",IF(G4=L4,"✓","✗"))</f>
        <v/>
      </c>
      <c r="Q4" s="11">
        <f>IF(M4="","–",IF(H4=M4,"✓","✗"))</f>
        <v/>
      </c>
      <c r="R4" s="11">
        <f>IF(N4="","–",IF(I4=N4,"✓","✗"))</f>
        <v/>
      </c>
      <c r="S4" s="5">
        <f>IF(OR(K4="",L4="",M4="",N4=""),"Pending",IF(AND(O4="✓",P4="✓",Q4="✓",R4="✓"),"PASS","FAIL"))</f>
        <v/>
      </c>
      <c r="T4" s="7" t="inlineStr">
        <is>
          <t>Năm trụ = Quý Mão (2023), không phải Giáp Thìn. API sai nếu dùng Tết</t>
        </is>
      </c>
    </row>
    <row r="5">
      <c r="A5" s="5" t="n">
        <v>2</v>
      </c>
      <c r="B5" s="6" t="inlineStr">
        <is>
          <t>2024-02-05</t>
        </is>
      </c>
      <c r="C5" s="6" t="inlineStr">
        <is>
          <t>12:00</t>
        </is>
      </c>
      <c r="D5" s="7" t="inlineStr">
        <is>
          <t>1 ngày SAU Lập Xuân 2024</t>
        </is>
      </c>
      <c r="E5" s="8" t="inlineStr">
        <is>
          <t>🔴 Năm Trụ boundary</t>
        </is>
      </c>
      <c r="F5" s="9" t="inlineStr">
        <is>
          <t>Giáp Thìn</t>
        </is>
      </c>
      <c r="G5" s="10" t="inlineStr">
        <is>
          <t>?</t>
        </is>
      </c>
      <c r="H5" s="9" t="inlineStr">
        <is>
          <t>Giáp Thân</t>
        </is>
      </c>
      <c r="I5" s="9" t="inlineStr">
        <is>
          <t>Bính Thân</t>
        </is>
      </c>
      <c r="J5" s="11" t="inlineStr"/>
      <c r="K5" s="12" t="inlineStr"/>
      <c r="L5" s="12" t="inlineStr"/>
      <c r="M5" s="12" t="inlineStr"/>
      <c r="N5" s="12" t="inlineStr"/>
      <c r="O5" s="11">
        <f>IF(K5="","–",IF(F5=K5,"✓","✗"))</f>
        <v/>
      </c>
      <c r="P5" s="11">
        <f>IF(L5="","–",IF(G5=L5,"✓","✗"))</f>
        <v/>
      </c>
      <c r="Q5" s="11">
        <f>IF(M5="","–",IF(H5=M5,"✓","✗"))</f>
        <v/>
      </c>
      <c r="R5" s="11">
        <f>IF(N5="","–",IF(I5=N5,"✓","✗"))</f>
        <v/>
      </c>
      <c r="S5" s="5">
        <f>IF(OR(K5="",L5="",M5="",N5=""),"Pending",IF(AND(O5="✓",P5="✓",Q5="✓",R5="✓"),"PASS","FAIL"))</f>
        <v/>
      </c>
      <c r="T5" s="7" t="inlineStr">
        <is>
          <t>Năm trụ = Giáp Thìn (2024). Tháng trụ = Dần (sau Lập Xuân)</t>
        </is>
      </c>
    </row>
    <row r="6">
      <c r="A6" s="5" t="n">
        <v>3</v>
      </c>
      <c r="B6" s="6" t="inlineStr">
        <is>
          <t>2025-02-02</t>
        </is>
      </c>
      <c r="C6" s="6" t="inlineStr">
        <is>
          <t>12:00</t>
        </is>
      </c>
      <c r="D6" s="7" t="inlineStr">
        <is>
          <t>1 ngày TRƯỚC Lập Xuân 2025 (3/2/2025 ~22:10)</t>
        </is>
      </c>
      <c r="E6" s="8" t="inlineStr">
        <is>
          <t>🔴 Năm Trụ boundary</t>
        </is>
      </c>
      <c r="F6" s="9" t="inlineStr">
        <is>
          <t>Giáp Thìn</t>
        </is>
      </c>
      <c r="G6" s="10" t="inlineStr">
        <is>
          <t>?</t>
        </is>
      </c>
      <c r="H6" s="9" t="inlineStr">
        <is>
          <t>Quý Hợi</t>
        </is>
      </c>
      <c r="I6" s="9" t="inlineStr">
        <is>
          <t>Giáp Ngọ</t>
        </is>
      </c>
      <c r="J6" s="11" t="inlineStr"/>
      <c r="K6" s="12" t="inlineStr"/>
      <c r="L6" s="12" t="inlineStr"/>
      <c r="M6" s="12" t="inlineStr"/>
      <c r="N6" s="12" t="inlineStr"/>
      <c r="O6" s="11">
        <f>IF(K6="","–",IF(F6=K6,"✓","✗"))</f>
        <v/>
      </c>
      <c r="P6" s="11">
        <f>IF(L6="","–",IF(G6=L6,"✓","✗"))</f>
        <v/>
      </c>
      <c r="Q6" s="11">
        <f>IF(M6="","–",IF(H6=M6,"✓","✗"))</f>
        <v/>
      </c>
      <c r="R6" s="11">
        <f>IF(N6="","–",IF(I6=N6,"✓","✗"))</f>
        <v/>
      </c>
      <c r="S6" s="5">
        <f>IF(OR(K6="",L6="",M6="",N6=""),"Pending",IF(AND(O6="✓",P6="✓",Q6="✓",R6="✓"),"PASS","FAIL"))</f>
        <v/>
      </c>
      <c r="T6" s="7" t="inlineStr">
        <is>
          <t>Năm trụ = Giáp Thìn (2024), không phải Ất Tỵ. Lập Xuân 2025 vào 3/2</t>
        </is>
      </c>
    </row>
    <row r="7">
      <c r="A7" s="5" t="n">
        <v>4</v>
      </c>
      <c r="B7" s="6" t="inlineStr">
        <is>
          <t>2025-02-04</t>
        </is>
      </c>
      <c r="C7" s="6" t="inlineStr">
        <is>
          <t>12:00</t>
        </is>
      </c>
      <c r="D7" s="7" t="inlineStr">
        <is>
          <t>1 ngày SAU Lập Xuân 2025</t>
        </is>
      </c>
      <c r="E7" s="8" t="inlineStr">
        <is>
          <t>🔴 Năm Trụ boundary</t>
        </is>
      </c>
      <c r="F7" s="9" t="inlineStr">
        <is>
          <t>Ất Tỵ</t>
        </is>
      </c>
      <c r="G7" s="10" t="inlineStr">
        <is>
          <t>?</t>
        </is>
      </c>
      <c r="H7" s="9" t="inlineStr">
        <is>
          <t>Ất Sửu</t>
        </is>
      </c>
      <c r="I7" s="9" t="inlineStr">
        <is>
          <t>Bính Ngọ</t>
        </is>
      </c>
      <c r="J7" s="11" t="inlineStr"/>
      <c r="K7" s="12" t="inlineStr"/>
      <c r="L7" s="12" t="inlineStr"/>
      <c r="M7" s="12" t="inlineStr"/>
      <c r="N7" s="12" t="inlineStr"/>
      <c r="O7" s="11">
        <f>IF(K7="","–",IF(F7=K7,"✓","✗"))</f>
        <v/>
      </c>
      <c r="P7" s="11">
        <f>IF(L7="","–",IF(G7=L7,"✓","✗"))</f>
        <v/>
      </c>
      <c r="Q7" s="11">
        <f>IF(M7="","–",IF(H7=M7,"✓","✗"))</f>
        <v/>
      </c>
      <c r="R7" s="11">
        <f>IF(N7="","–",IF(I7=N7,"✓","✗"))</f>
        <v/>
      </c>
      <c r="S7" s="5">
        <f>IF(OR(K7="",L7="",M7="",N7=""),"Pending",IF(AND(O7="✓",P7="✓",Q7="✓",R7="✓"),"PASS","FAIL"))</f>
        <v/>
      </c>
      <c r="T7" s="7" t="inlineStr">
        <is>
          <t>Năm trụ = Ất Tỵ (2025). Tháng Dần bắt đầu</t>
        </is>
      </c>
    </row>
    <row r="8">
      <c r="A8" s="5" t="n">
        <v>5</v>
      </c>
      <c r="B8" s="6" t="inlineStr">
        <is>
          <t>1990-02-03</t>
        </is>
      </c>
      <c r="C8" s="6" t="inlineStr">
        <is>
          <t>12:00</t>
        </is>
      </c>
      <c r="D8" s="7" t="inlineStr">
        <is>
          <t>Trước Lập Xuân 1990 (4/2/1990)</t>
        </is>
      </c>
      <c r="E8" s="8" t="inlineStr">
        <is>
          <t>🔴 Năm Trụ boundary</t>
        </is>
      </c>
      <c r="F8" s="9" t="inlineStr">
        <is>
          <t>Kỷ Tỵ</t>
        </is>
      </c>
      <c r="G8" s="10" t="inlineStr">
        <is>
          <t>?</t>
        </is>
      </c>
      <c r="H8" s="9" t="inlineStr">
        <is>
          <t>Kỷ Mão</t>
        </is>
      </c>
      <c r="I8" s="9" t="inlineStr">
        <is>
          <t>Bính Ngọ</t>
        </is>
      </c>
      <c r="J8" s="11" t="inlineStr"/>
      <c r="K8" s="12" t="inlineStr"/>
      <c r="L8" s="12" t="inlineStr"/>
      <c r="M8" s="12" t="inlineStr"/>
      <c r="N8" s="12" t="inlineStr"/>
      <c r="O8" s="11">
        <f>IF(K8="","–",IF(F8=K8,"✓","✗"))</f>
        <v/>
      </c>
      <c r="P8" s="11">
        <f>IF(L8="","–",IF(G8=L8,"✓","✗"))</f>
        <v/>
      </c>
      <c r="Q8" s="11">
        <f>IF(M8="","–",IF(H8=M8,"✓","✗"))</f>
        <v/>
      </c>
      <c r="R8" s="11">
        <f>IF(N8="","–",IF(I8=N8,"✓","✗"))</f>
        <v/>
      </c>
      <c r="S8" s="5">
        <f>IF(OR(K8="",L8="",M8="",N8=""),"Pending",IF(AND(O8="✓",P8="✓",Q8="✓",R8="✓"),"PASS","FAIL"))</f>
        <v/>
      </c>
      <c r="T8" s="7" t="inlineStr">
        <is>
          <t>Năm trụ = Kỷ Tỵ (1989), KHÔNG phải Canh Ngọ. Bug kinh điển</t>
        </is>
      </c>
    </row>
    <row r="9">
      <c r="A9" s="5" t="n">
        <v>6</v>
      </c>
      <c r="B9" s="6" t="inlineStr">
        <is>
          <t>2024-03-04</t>
        </is>
      </c>
      <c r="C9" s="6" t="inlineStr">
        <is>
          <t>12:00</t>
        </is>
      </c>
      <c r="D9" s="7" t="inlineStr">
        <is>
          <t>1 ngày TRƯỚC Kinh Trập 2024 (5/3/2024 ~23:23)</t>
        </is>
      </c>
      <c r="E9" s="8" t="inlineStr">
        <is>
          <t>🔴 Tháng Trụ boundary</t>
        </is>
      </c>
      <c r="F9" s="9" t="inlineStr">
        <is>
          <t>Giáp Thìn</t>
        </is>
      </c>
      <c r="G9" s="9" t="inlineStr">
        <is>
          <t>Bính Dần</t>
        </is>
      </c>
      <c r="H9" s="9" t="inlineStr">
        <is>
          <t>Mậu Thân</t>
        </is>
      </c>
      <c r="I9" s="9" t="inlineStr">
        <is>
          <t>Canh Ngọ</t>
        </is>
      </c>
      <c r="J9" s="11" t="inlineStr"/>
      <c r="K9" s="12" t="inlineStr"/>
      <c r="L9" s="12" t="inlineStr"/>
      <c r="M9" s="12" t="inlineStr"/>
      <c r="N9" s="12" t="inlineStr"/>
      <c r="O9" s="11">
        <f>IF(K9="","–",IF(F9=K9,"✓","✗"))</f>
        <v/>
      </c>
      <c r="P9" s="11">
        <f>IF(L9="","–",IF(G9=L9,"✓","✗"))</f>
        <v/>
      </c>
      <c r="Q9" s="11">
        <f>IF(M9="","–",IF(H9=M9,"✓","✗"))</f>
        <v/>
      </c>
      <c r="R9" s="11">
        <f>IF(N9="","–",IF(I9=N9,"✓","✗"))</f>
        <v/>
      </c>
      <c r="S9" s="5">
        <f>IF(OR(K9="",L9="",M9="",N9=""),"Pending",IF(AND(O9="✓",P9="✓",Q9="✓",R9="✓"),"PASS","FAIL"))</f>
        <v/>
      </c>
      <c r="T9" s="7" t="inlineStr">
        <is>
          <t>Kinh Trập 5/3/2024 23:23 → Tháng Mão bắt đầu. Ngày này vẫn tháng Dần</t>
        </is>
      </c>
    </row>
    <row r="10">
      <c r="A10" s="5" t="n">
        <v>7</v>
      </c>
      <c r="B10" s="6" t="inlineStr">
        <is>
          <t>2024-03-06</t>
        </is>
      </c>
      <c r="C10" s="6" t="inlineStr">
        <is>
          <t>12:00</t>
        </is>
      </c>
      <c r="D10" s="7" t="inlineStr">
        <is>
          <t>1 ngày SAU Kinh Trập 2024 (5/3)</t>
        </is>
      </c>
      <c r="E10" s="8" t="inlineStr">
        <is>
          <t>🔴 Tháng Trụ boundary</t>
        </is>
      </c>
      <c r="F10" s="9" t="inlineStr">
        <is>
          <t>Giáp Thìn</t>
        </is>
      </c>
      <c r="G10" s="9" t="inlineStr">
        <is>
          <t>Đinh Mão</t>
        </is>
      </c>
      <c r="H10" s="9" t="inlineStr">
        <is>
          <t>Canh Tuất</t>
        </is>
      </c>
      <c r="I10" s="9" t="inlineStr">
        <is>
          <t>Canh Ngọ</t>
        </is>
      </c>
      <c r="J10" s="11" t="inlineStr"/>
      <c r="K10" s="12" t="inlineStr"/>
      <c r="L10" s="12" t="inlineStr"/>
      <c r="M10" s="12" t="inlineStr"/>
      <c r="N10" s="12" t="inlineStr"/>
      <c r="O10" s="11">
        <f>IF(K10="","–",IF(F10=K10,"✓","✗"))</f>
        <v/>
      </c>
      <c r="P10" s="11">
        <f>IF(L10="","–",IF(G10=L10,"✓","✗"))</f>
        <v/>
      </c>
      <c r="Q10" s="11">
        <f>IF(M10="","–",IF(H10=M10,"✓","✗"))</f>
        <v/>
      </c>
      <c r="R10" s="11">
        <f>IF(N10="","–",IF(I10=N10,"✓","✗"))</f>
        <v/>
      </c>
      <c r="S10" s="5">
        <f>IF(OR(K10="",L10="",M10="",N10=""),"Pending",IF(AND(O10="✓",P10="✓",Q10="✓",R10="✓"),"PASS","FAIL"))</f>
        <v/>
      </c>
      <c r="T10" s="7" t="inlineStr">
        <is>
          <t>Sau Kinh Trập → tháng Mão bắt đầu. Đinh Mão (Giáp năm → tháng Mão=Đinh)</t>
        </is>
      </c>
    </row>
    <row r="11">
      <c r="A11" s="5" t="n">
        <v>8</v>
      </c>
      <c r="B11" s="6" t="inlineStr">
        <is>
          <t>2024-01-05</t>
        </is>
      </c>
      <c r="C11" s="6" t="inlineStr">
        <is>
          <t>12:00</t>
        </is>
      </c>
      <c r="D11" s="7" t="inlineStr">
        <is>
          <t>Trước Tiểu Hàn 2024 (6/1/2024 ~17:17)</t>
        </is>
      </c>
      <c r="E11" s="13" t="inlineStr">
        <is>
          <t>🟡 Tháng Trụ boundary</t>
        </is>
      </c>
      <c r="F11" s="9" t="inlineStr">
        <is>
          <t>Quý Mão</t>
        </is>
      </c>
      <c r="G11" s="9" t="inlineStr">
        <is>
          <t>Quý Sửu</t>
        </is>
      </c>
      <c r="H11" s="9" t="inlineStr">
        <is>
          <t>Bính Ngọ</t>
        </is>
      </c>
      <c r="I11" s="9" t="inlineStr">
        <is>
          <t>Nhâm Ngọ</t>
        </is>
      </c>
      <c r="J11" s="11" t="inlineStr"/>
      <c r="K11" s="12" t="inlineStr"/>
      <c r="L11" s="12" t="inlineStr"/>
      <c r="M11" s="12" t="inlineStr"/>
      <c r="N11" s="12" t="inlineStr"/>
      <c r="O11" s="11">
        <f>IF(K11="","–",IF(F11=K11,"✓","✗"))</f>
        <v/>
      </c>
      <c r="P11" s="11">
        <f>IF(L11="","–",IF(G11=L11,"✓","✗"))</f>
        <v/>
      </c>
      <c r="Q11" s="11">
        <f>IF(M11="","–",IF(H11=M11,"✓","✗"))</f>
        <v/>
      </c>
      <c r="R11" s="11">
        <f>IF(N11="","–",IF(I11=N11,"✓","✗"))</f>
        <v/>
      </c>
      <c r="S11" s="5">
        <f>IF(OR(K11="",L11="",M11="",N11=""),"Pending",IF(AND(O11="✓",P11="✓",Q11="✓",R11="✓"),"PASS","FAIL"))</f>
        <v/>
      </c>
      <c r="T11" s="7" t="inlineStr">
        <is>
          <t>Năm 2023 (trước Lập Xuân), tháng Tý (trước Tiểu Hàn). Nhâm Can tháng</t>
        </is>
      </c>
    </row>
    <row r="12">
      <c r="A12" s="5" t="n">
        <v>9</v>
      </c>
      <c r="B12" s="6" t="inlineStr">
        <is>
          <t>2024-01-07</t>
        </is>
      </c>
      <c r="C12" s="6" t="inlineStr">
        <is>
          <t>12:00</t>
        </is>
      </c>
      <c r="D12" s="7" t="inlineStr">
        <is>
          <t>Sau Tiểu Hàn 2024 (6/1/2024 ~17:17)</t>
        </is>
      </c>
      <c r="E12" s="13" t="inlineStr">
        <is>
          <t>🟡 Tháng Trụ boundary</t>
        </is>
      </c>
      <c r="F12" s="9" t="inlineStr">
        <is>
          <t>Quý Mão</t>
        </is>
      </c>
      <c r="G12" s="9" t="inlineStr">
        <is>
          <t>Quý Sửu</t>
        </is>
      </c>
      <c r="H12" s="9" t="inlineStr">
        <is>
          <t>Mậu Thân</t>
        </is>
      </c>
      <c r="I12" s="9" t="inlineStr">
        <is>
          <t>Canh Ngọ</t>
        </is>
      </c>
      <c r="J12" s="11" t="inlineStr"/>
      <c r="K12" s="12" t="inlineStr"/>
      <c r="L12" s="12" t="inlineStr"/>
      <c r="M12" s="12" t="inlineStr"/>
      <c r="N12" s="12" t="inlineStr"/>
      <c r="O12" s="11">
        <f>IF(K12="","–",IF(F12=K12,"✓","✗"))</f>
        <v/>
      </c>
      <c r="P12" s="11">
        <f>IF(L12="","–",IF(G12=L12,"✓","✗"))</f>
        <v/>
      </c>
      <c r="Q12" s="11">
        <f>IF(M12="","–",IF(H12=M12,"✓","✗"))</f>
        <v/>
      </c>
      <c r="R12" s="11">
        <f>IF(N12="","–",IF(I12=N12,"✓","✗"))</f>
        <v/>
      </c>
      <c r="S12" s="5">
        <f>IF(OR(K12="",L12="",M12="",N12=""),"Pending",IF(AND(O12="✓",P12="✓",Q12="✓",R12="✓"),"PASS","FAIL"))</f>
        <v/>
      </c>
      <c r="T12" s="7" t="inlineStr">
        <is>
          <t>Tháng Sửu bắt đầu. Năm vẫn Quý Mão (trước Lập Xuân)</t>
        </is>
      </c>
    </row>
    <row r="13">
      <c r="A13" s="5" t="n">
        <v>10</v>
      </c>
      <c r="B13" s="6" t="inlineStr">
        <is>
          <t>2024-06-15</t>
        </is>
      </c>
      <c r="C13" s="6" t="inlineStr">
        <is>
          <t>22:59</t>
        </is>
      </c>
      <c r="D13" s="7" t="inlineStr">
        <is>
          <t>23:00 trừ 1 phút → giờ Hợi (không phải Tý)</t>
        </is>
      </c>
      <c r="E13" s="13" t="inlineStr">
        <is>
          <t>🟡 Giờ Trụ boundary</t>
        </is>
      </c>
      <c r="F13" s="9" t="inlineStr">
        <is>
          <t>Giáp Thìn</t>
        </is>
      </c>
      <c r="G13" s="10" t="inlineStr">
        <is>
          <t>?</t>
        </is>
      </c>
      <c r="H13" s="9" t="inlineStr">
        <is>
          <t>Mậu Thìn</t>
        </is>
      </c>
      <c r="I13" s="9" t="inlineStr">
        <is>
          <t>Đinh Hợi</t>
        </is>
      </c>
      <c r="J13" s="11" t="inlineStr"/>
      <c r="K13" s="12" t="inlineStr"/>
      <c r="L13" s="12" t="inlineStr"/>
      <c r="M13" s="12" t="inlineStr"/>
      <c r="N13" s="12" t="inlineStr"/>
      <c r="O13" s="11">
        <f>IF(K13="","–",IF(F13=K13,"✓","✗"))</f>
        <v/>
      </c>
      <c r="P13" s="11">
        <f>IF(L13="","–",IF(G13=L13,"✓","✗"))</f>
        <v/>
      </c>
      <c r="Q13" s="11">
        <f>IF(M13="","–",IF(H13=M13,"✓","✗"))</f>
        <v/>
      </c>
      <c r="R13" s="11">
        <f>IF(N13="","–",IF(I13=N13,"✓","✗"))</f>
        <v/>
      </c>
      <c r="S13" s="5">
        <f>IF(OR(K13="",L13="",M13="",N13=""),"Pending",IF(AND(O13="✓",P13="✓",Q13="✓",R13="✓"),"PASS","FAIL"))</f>
        <v/>
      </c>
      <c r="T13" s="7" t="inlineStr">
        <is>
          <t>22:59 = giờ Hợi (chiIdx=11). 23:00 mới là Tý của ngày hôm sau</t>
        </is>
      </c>
    </row>
    <row r="14">
      <c r="A14" s="5" t="n">
        <v>11</v>
      </c>
      <c r="B14" s="6" t="inlineStr">
        <is>
          <t>2024-06-15</t>
        </is>
      </c>
      <c r="C14" s="6" t="inlineStr">
        <is>
          <t>23:01</t>
        </is>
      </c>
      <c r="D14" s="7" t="inlineStr">
        <is>
          <t>23:01 → giờ Tý của NGÀY 16/6 (Ngày trụ shifts)</t>
        </is>
      </c>
      <c r="E14" s="8" t="inlineStr">
        <is>
          <t>🔴 Giờ Trụ + Ngày Trụ boundary</t>
        </is>
      </c>
      <c r="F14" s="9" t="inlineStr">
        <is>
          <t>Giáp Thìn</t>
        </is>
      </c>
      <c r="G14" s="10" t="inlineStr">
        <is>
          <t>?</t>
        </is>
      </c>
      <c r="H14" s="9" t="inlineStr">
        <is>
          <t>Kỷ Tỵ</t>
        </is>
      </c>
      <c r="I14" s="9" t="inlineStr">
        <is>
          <t>Nhâm Tý</t>
        </is>
      </c>
      <c r="J14" s="11" t="inlineStr"/>
      <c r="K14" s="12" t="inlineStr"/>
      <c r="L14" s="12" t="inlineStr"/>
      <c r="M14" s="12" t="inlineStr"/>
      <c r="N14" s="12" t="inlineStr"/>
      <c r="O14" s="11">
        <f>IF(K14="","–",IF(F14=K14,"✓","✗"))</f>
        <v/>
      </c>
      <c r="P14" s="11">
        <f>IF(L14="","–",IF(G14=L14,"✓","✗"))</f>
        <v/>
      </c>
      <c r="Q14" s="11">
        <f>IF(M14="","–",IF(H14=M14,"✓","✗"))</f>
        <v/>
      </c>
      <c r="R14" s="11">
        <f>IF(N14="","–",IF(I14=N14,"✓","✗"))</f>
        <v/>
      </c>
      <c r="S14" s="5">
        <f>IF(OR(K14="",L14="",M14="",N14=""),"Pending",IF(AND(O14="✓",P14="✓",Q14="✓",R14="✓"),"PASS","FAIL"))</f>
        <v/>
      </c>
      <c r="T14" s="7" t="inlineStr">
        <is>
          <t>Giờ 23:00+ → thuộc ngày 16/6. Ngày trụ = Kỷ Tỵ (16/6), không phải Mậu Thìn (15/6)</t>
        </is>
      </c>
    </row>
    <row r="15">
      <c r="A15" s="5" t="n">
        <v>12</v>
      </c>
      <c r="B15" s="6" t="inlineStr">
        <is>
          <t>2024-06-15</t>
        </is>
      </c>
      <c r="C15" s="6" t="inlineStr">
        <is>
          <t>00:01</t>
        </is>
      </c>
      <c r="D15" s="7" t="inlineStr">
        <is>
          <t>00:01 → giờ Tý (đầu ngày, ngày trụ 15/6)</t>
        </is>
      </c>
      <c r="E15" s="13" t="inlineStr">
        <is>
          <t>🟡 Giờ Trụ</t>
        </is>
      </c>
      <c r="F15" s="9" t="inlineStr">
        <is>
          <t>Giáp Thìn</t>
        </is>
      </c>
      <c r="G15" s="10" t="inlineStr">
        <is>
          <t>?</t>
        </is>
      </c>
      <c r="H15" s="9" t="inlineStr">
        <is>
          <t>Mậu Thìn</t>
        </is>
      </c>
      <c r="I15" s="9" t="inlineStr">
        <is>
          <t>Mậu Tý</t>
        </is>
      </c>
      <c r="J15" s="11" t="inlineStr"/>
      <c r="K15" s="12" t="inlineStr"/>
      <c r="L15" s="12" t="inlineStr"/>
      <c r="M15" s="12" t="inlineStr"/>
      <c r="N15" s="12" t="inlineStr"/>
      <c r="O15" s="11">
        <f>IF(K15="","–",IF(F15=K15,"✓","✗"))</f>
        <v/>
      </c>
      <c r="P15" s="11">
        <f>IF(L15="","–",IF(G15=L15,"✓","✗"))</f>
        <v/>
      </c>
      <c r="Q15" s="11">
        <f>IF(M15="","–",IF(H15=M15,"✓","✗"))</f>
        <v/>
      </c>
      <c r="R15" s="11">
        <f>IF(N15="","–",IF(I15=N15,"✓","✗"))</f>
        <v/>
      </c>
      <c r="S15" s="5">
        <f>IF(OR(K15="",L15="",M15="",N15=""),"Pending",IF(AND(O15="✓",P15="✓",Q15="✓",R15="✓"),"PASS","FAIL"))</f>
        <v/>
      </c>
      <c r="T15" s="7" t="inlineStr">
        <is>
          <t>00:01 vẫn là Tý nhưng ngày trụ = 15/6 (Mậu Thìn). Can giờ phụ thuộc ngày Can</t>
        </is>
      </c>
    </row>
    <row r="16">
      <c r="A16" s="5" t="n">
        <v>13</v>
      </c>
      <c r="B16" s="6" t="inlineStr">
        <is>
          <t>1984-03-15</t>
        </is>
      </c>
      <c r="C16" s="6" t="inlineStr">
        <is>
          <t>01:00</t>
        </is>
      </c>
      <c r="D16" s="7" t="inlineStr">
        <is>
          <t>Giờ Sửu (01:00-02:59)</t>
        </is>
      </c>
      <c r="E16" s="13" t="inlineStr">
        <is>
          <t>🟡 Giờ Trụ</t>
        </is>
      </c>
      <c r="F16" s="9" t="inlineStr">
        <is>
          <t>Giáp Tý</t>
        </is>
      </c>
      <c r="G16" s="9" t="inlineStr">
        <is>
          <t>Mậu Dần</t>
        </is>
      </c>
      <c r="H16" s="9" t="inlineStr">
        <is>
          <t>Đinh Mùi</t>
        </is>
      </c>
      <c r="I16" s="9" t="inlineStr">
        <is>
          <t>Canh Sửu</t>
        </is>
      </c>
      <c r="J16" s="11" t="inlineStr"/>
      <c r="K16" s="12" t="inlineStr"/>
      <c r="L16" s="12" t="inlineStr"/>
      <c r="M16" s="12" t="inlineStr"/>
      <c r="N16" s="12" t="inlineStr"/>
      <c r="O16" s="11">
        <f>IF(K16="","–",IF(F16=K16,"✓","✗"))</f>
        <v/>
      </c>
      <c r="P16" s="11">
        <f>IF(L16="","–",IF(G16=L16,"✓","✗"))</f>
        <v/>
      </c>
      <c r="Q16" s="11">
        <f>IF(M16="","–",IF(H16=M16,"✓","✗"))</f>
        <v/>
      </c>
      <c r="R16" s="11">
        <f>IF(N16="","–",IF(I16=N16,"✓","✗"))</f>
        <v/>
      </c>
      <c r="S16" s="5">
        <f>IF(OR(K16="",L16="",M16="",N16=""),"Pending",IF(AND(O16="✓",P16="✓",Q16="✓",R16="✓"),"PASS","FAIL"))</f>
        <v/>
      </c>
      <c r="T16" s="7" t="inlineStr">
        <is>
          <t>Ngày 15/3/1984 = Đinh Mùi. Giờ Sửu Can = Canh (Đinh ngày → Canh Tý start → Canh+1=Tân? — verify)</t>
        </is>
      </c>
    </row>
    <row r="17">
      <c r="A17" s="5" t="n">
        <v>14</v>
      </c>
      <c r="B17" s="6" t="inlineStr">
        <is>
          <t>1984-01-15</t>
        </is>
      </c>
      <c r="C17" s="6" t="inlineStr">
        <is>
          <t>12:00</t>
        </is>
      </c>
      <c r="D17" s="7" t="inlineStr">
        <is>
          <t>Sinh 1984 TRƯỚC Lập Xuân → Năm mệnh = Quý Hợi 1983</t>
        </is>
      </c>
      <c r="E17" s="8" t="inlineStr">
        <is>
          <t>🔴 Nạp Âm Mệnh boundary</t>
        </is>
      </c>
      <c r="F17" s="9" t="inlineStr">
        <is>
          <t>Quý Hợi</t>
        </is>
      </c>
      <c r="G17" s="10" t="inlineStr">
        <is>
          <t>?</t>
        </is>
      </c>
      <c r="H17" s="9" t="inlineStr">
        <is>
          <t>Canh Tý</t>
        </is>
      </c>
      <c r="I17" s="9" t="inlineStr">
        <is>
          <t>Giáp Ngọ</t>
        </is>
      </c>
      <c r="J17" s="11" t="inlineStr"/>
      <c r="K17" s="12" t="inlineStr"/>
      <c r="L17" s="12" t="inlineStr"/>
      <c r="M17" s="12" t="inlineStr"/>
      <c r="N17" s="12" t="inlineStr"/>
      <c r="O17" s="11">
        <f>IF(K17="","–",IF(F17=K17,"✓","✗"))</f>
        <v/>
      </c>
      <c r="P17" s="11">
        <f>IF(L17="","–",IF(G17=L17,"✓","✗"))</f>
        <v/>
      </c>
      <c r="Q17" s="11">
        <f>IF(M17="","–",IF(H17=M17,"✓","✗"))</f>
        <v/>
      </c>
      <c r="R17" s="11">
        <f>IF(N17="","–",IF(I17=N17,"✓","✗"))</f>
        <v/>
      </c>
      <c r="S17" s="5">
        <f>IF(OR(K17="",L17="",M17="",N17=""),"Pending",IF(AND(O17="✓",P17="✓",Q17="✓",R17="✓"),"PASS","FAIL"))</f>
        <v/>
      </c>
      <c r="T17" s="7" t="inlineStr">
        <is>
          <t>Năm 1984 trước Lập Xuân → Năm trụ Quý Hợi → Mệnh = Đại Hải Thủy</t>
        </is>
      </c>
    </row>
    <row r="18">
      <c r="A18" s="5" t="n">
        <v>15</v>
      </c>
      <c r="B18" s="6" t="inlineStr">
        <is>
          <t>1984-06-01</t>
        </is>
      </c>
      <c r="C18" s="6" t="inlineStr">
        <is>
          <t>12:00</t>
        </is>
      </c>
      <c r="D18" s="7" t="inlineStr">
        <is>
          <t>Sinh 1984 SAU Lập Xuân → Năm mệnh = Giáp Tý 1984</t>
        </is>
      </c>
      <c r="E18" s="8" t="inlineStr">
        <is>
          <t>🔴 Nạp Âm Mệnh boundary</t>
        </is>
      </c>
      <c r="F18" s="9" t="inlineStr">
        <is>
          <t>Giáp Tý</t>
        </is>
      </c>
      <c r="G18" s="9" t="inlineStr">
        <is>
          <t>Mậu Ngọ</t>
        </is>
      </c>
      <c r="H18" s="9" t="inlineStr">
        <is>
          <t>Mậu Thân</t>
        </is>
      </c>
      <c r="I18" s="9" t="inlineStr">
        <is>
          <t>Bính Ngọ</t>
        </is>
      </c>
      <c r="J18" s="11" t="inlineStr"/>
      <c r="K18" s="12" t="inlineStr"/>
      <c r="L18" s="12" t="inlineStr"/>
      <c r="M18" s="12" t="inlineStr"/>
      <c r="N18" s="12" t="inlineStr"/>
      <c r="O18" s="11">
        <f>IF(K18="","–",IF(F18=K18,"✓","✗"))</f>
        <v/>
      </c>
      <c r="P18" s="11">
        <f>IF(L18="","–",IF(G18=L18,"✓","✗"))</f>
        <v/>
      </c>
      <c r="Q18" s="11">
        <f>IF(M18="","–",IF(H18=M18,"✓","✗"))</f>
        <v/>
      </c>
      <c r="R18" s="11">
        <f>IF(N18="","–",IF(I18=N18,"✓","✗"))</f>
        <v/>
      </c>
      <c r="S18" s="5">
        <f>IF(OR(K18="",L18="",M18="",N18=""),"Pending",IF(AND(O18="✓",P18="✓",Q18="✓",R18="✓"),"PASS","FAIL"))</f>
        <v/>
      </c>
      <c r="T18" s="7" t="inlineStr">
        <is>
          <t>Giáp Tý → Mệnh Hải Trung Kim. Khác hoàn toàn với Quý Hợi</t>
        </is>
      </c>
    </row>
    <row r="19">
      <c r="A19" s="5" t="n">
        <v>16</v>
      </c>
      <c r="B19" s="6" t="inlineStr">
        <is>
          <t>2023-03-22</t>
        </is>
      </c>
      <c r="C19" s="6" t="inlineStr">
        <is>
          <t>12:00</t>
        </is>
      </c>
      <c r="D19" s="7" t="inlineStr">
        <is>
          <t>Tháng 2 nhuận 2023 (âm lịch) — ngày dương 22/3/2023</t>
        </is>
      </c>
      <c r="E19" s="13" t="inlineStr">
        <is>
          <t>🟡 Tháng nhuận</t>
        </is>
      </c>
      <c r="F19" s="9" t="inlineStr">
        <is>
          <t>Quý Mão</t>
        </is>
      </c>
      <c r="G19" s="9" t="inlineStr">
        <is>
          <t>Mậu Mão</t>
        </is>
      </c>
      <c r="H19" s="9" t="inlineStr">
        <is>
          <t>Giáp Tuất</t>
        </is>
      </c>
      <c r="I19" s="9" t="inlineStr">
        <is>
          <t>Nhâm Ngọ</t>
        </is>
      </c>
      <c r="J19" s="11" t="inlineStr"/>
      <c r="K19" s="12" t="inlineStr"/>
      <c r="L19" s="12" t="inlineStr"/>
      <c r="M19" s="12" t="inlineStr"/>
      <c r="N19" s="12" t="inlineStr"/>
      <c r="O19" s="11">
        <f>IF(K19="","–",IF(F19=K19,"✓","✗"))</f>
        <v/>
      </c>
      <c r="P19" s="11">
        <f>IF(L19="","–",IF(G19=L19,"✓","✗"))</f>
        <v/>
      </c>
      <c r="Q19" s="11">
        <f>IF(M19="","–",IF(H19=M19,"✓","✗"))</f>
        <v/>
      </c>
      <c r="R19" s="11">
        <f>IF(N19="","–",IF(I19=N19,"✓","✗"))</f>
        <v/>
      </c>
      <c r="S19" s="5">
        <f>IF(OR(K19="",L19="",M19="",N19=""),"Pending",IF(AND(O19="✓",P19="✓",Q19="✓",R19="✓"),"PASS","FAIL"))</f>
        <v/>
      </c>
      <c r="T19" s="7" t="inlineStr">
        <is>
          <t>Tháng nhuận âm lịch KHÔNG ảnh hưởng Tháng Trụ — Tháng Trụ vẫn dùng Tiết Khí</t>
        </is>
      </c>
    </row>
    <row r="20">
      <c r="A20" s="5" t="n">
        <v>17</v>
      </c>
      <c r="B20" s="6" t="inlineStr">
        <is>
          <t>1900-01-31</t>
        </is>
      </c>
      <c r="C20" s="6" t="inlineStr">
        <is>
          <t>12:00</t>
        </is>
      </c>
      <c r="D20" s="7" t="inlineStr">
        <is>
          <t>Anchor ngày JDN = Giáp Tý</t>
        </is>
      </c>
      <c r="E20" s="14" t="inlineStr">
        <is>
          <t>🟢 Anchor verification</t>
        </is>
      </c>
      <c r="F20" s="9" t="inlineStr">
        <is>
          <t>Kỷ Hợi</t>
        </is>
      </c>
      <c r="G20" s="10" t="inlineStr">
        <is>
          <t>?</t>
        </is>
      </c>
      <c r="H20" s="9" t="inlineStr">
        <is>
          <t>Giáp Tý</t>
        </is>
      </c>
      <c r="I20" s="9" t="inlineStr">
        <is>
          <t>Canh Ngọ</t>
        </is>
      </c>
      <c r="J20" s="11" t="inlineStr"/>
      <c r="K20" s="12" t="inlineStr"/>
      <c r="L20" s="12" t="inlineStr"/>
      <c r="M20" s="12" t="inlineStr"/>
      <c r="N20" s="12" t="inlineStr"/>
      <c r="O20" s="11">
        <f>IF(K20="","–",IF(F20=K20,"✓","✗"))</f>
        <v/>
      </c>
      <c r="P20" s="11">
        <f>IF(L20="","–",IF(G20=L20,"✓","✗"))</f>
        <v/>
      </c>
      <c r="Q20" s="11">
        <f>IF(M20="","–",IF(H20=M20,"✓","✗"))</f>
        <v/>
      </c>
      <c r="R20" s="11">
        <f>IF(N20="","–",IF(I20=N20,"✓","✗"))</f>
        <v/>
      </c>
      <c r="S20" s="5">
        <f>IF(OR(K20="",L20="",M20="",N20=""),"Pending",IF(AND(O20="✓",P20="✓",Q20="✓",R20="✓"),"PASS","FAIL"))</f>
        <v/>
      </c>
      <c r="T20" s="7" t="inlineStr">
        <is>
          <t>Ngày 31/1/1900 = Giáp Tý (JDN anchor). Năm 1900 trước LX → Kỷ Hợi 1899</t>
        </is>
      </c>
    </row>
    <row r="21">
      <c r="A21" s="5" t="n">
        <v>18</v>
      </c>
      <c r="B21" s="6" t="inlineStr">
        <is>
          <t>2000-01-01</t>
        </is>
      </c>
      <c r="C21" s="6" t="inlineStr">
        <is>
          <t>12:00</t>
        </is>
      </c>
      <c r="D21" s="7" t="inlineStr">
        <is>
          <t>1/1/2000 — đầu thiên niên kỷ</t>
        </is>
      </c>
      <c r="E21" s="14" t="inlineStr">
        <is>
          <t>🟢 Verification</t>
        </is>
      </c>
      <c r="F21" s="9" t="inlineStr">
        <is>
          <t>Kỷ Mão</t>
        </is>
      </c>
      <c r="G21" s="9" t="inlineStr">
        <is>
          <t>Mậu Tý</t>
        </is>
      </c>
      <c r="H21" s="9" t="inlineStr">
        <is>
          <t>Mậu Dần</t>
        </is>
      </c>
      <c r="I21" s="9" t="inlineStr">
        <is>
          <t>Bính Ngọ</t>
        </is>
      </c>
      <c r="J21" s="11" t="inlineStr"/>
      <c r="K21" s="12" t="inlineStr"/>
      <c r="L21" s="12" t="inlineStr"/>
      <c r="M21" s="12" t="inlineStr"/>
      <c r="N21" s="12" t="inlineStr"/>
      <c r="O21" s="11">
        <f>IF(K21="","–",IF(F21=K21,"✓","✗"))</f>
        <v/>
      </c>
      <c r="P21" s="11">
        <f>IF(L21="","–",IF(G21=L21,"✓","✗"))</f>
        <v/>
      </c>
      <c r="Q21" s="11">
        <f>IF(M21="","–",IF(H21=M21,"✓","✗"))</f>
        <v/>
      </c>
      <c r="R21" s="11">
        <f>IF(N21="","–",IF(I21=N21,"✓","✗"))</f>
        <v/>
      </c>
      <c r="S21" s="5">
        <f>IF(OR(K21="",L21="",M21="",N21=""),"Pending",IF(AND(O21="✓",P21="✓",Q21="✓",R21="✓"),"PASS","FAIL"))</f>
        <v/>
      </c>
      <c r="T21" s="7" t="inlineStr">
        <is>
          <t>Năm 2000 trước LX (LX = 4/2/2000) → Kỷ Mão (1999). Ngày = Mậu Dần (verified)</t>
        </is>
      </c>
    </row>
    <row r="22">
      <c r="A22" s="5" t="n">
        <v>19</v>
      </c>
      <c r="B22" s="6" t="inlineStr">
        <is>
          <t>2026-01-17</t>
        </is>
      </c>
      <c r="C22" s="6" t="inlineStr">
        <is>
          <t>12:00</t>
        </is>
      </c>
      <c r="D22" s="7" t="inlineStr">
        <is>
          <t>Mồng 1 Tết 2026 — Tân Hợi ngày</t>
        </is>
      </c>
      <c r="E22" s="14" t="inlineStr">
        <is>
          <t>🟢 Tết vs LX test</t>
        </is>
      </c>
      <c r="F22" s="9" t="inlineStr">
        <is>
          <t>Ất Tỵ</t>
        </is>
      </c>
      <c r="G22" s="10" t="inlineStr">
        <is>
          <t>?</t>
        </is>
      </c>
      <c r="H22" s="9" t="inlineStr">
        <is>
          <t>Tân Hợi</t>
        </is>
      </c>
      <c r="I22" s="9" t="inlineStr">
        <is>
          <t>Giáp Ngọ</t>
        </is>
      </c>
      <c r="J22" s="11" t="inlineStr"/>
      <c r="K22" s="12" t="inlineStr"/>
      <c r="L22" s="12" t="inlineStr"/>
      <c r="M22" s="12" t="inlineStr"/>
      <c r="N22" s="12" t="inlineStr"/>
      <c r="O22" s="11">
        <f>IF(K22="","–",IF(F22=K22,"✓","✗"))</f>
        <v/>
      </c>
      <c r="P22" s="11">
        <f>IF(L22="","–",IF(G22=L22,"✓","✗"))</f>
        <v/>
      </c>
      <c r="Q22" s="11">
        <f>IF(M22="","–",IF(H22=M22,"✓","✗"))</f>
        <v/>
      </c>
      <c r="R22" s="11">
        <f>IF(N22="","–",IF(I22=N22,"✓","✗"))</f>
        <v/>
      </c>
      <c r="S22" s="5">
        <f>IF(OR(K22="",L22="",M22="",N22=""),"Pending",IF(AND(O22="✓",P22="✓",Q22="✓",R22="✓"),"PASS","FAIL"))</f>
        <v/>
      </c>
      <c r="T22" s="7" t="inlineStr">
        <is>
          <t>LX 2026 ≈ 4/2/2026. Ngày 17/1 Dương lịch vẫn thuộc năm Ất Tỵ (2025). Ngày = Tân Hợi</t>
        </is>
      </c>
    </row>
    <row r="23">
      <c r="A23" s="5" t="n">
        <v>20</v>
      </c>
      <c r="B23" s="6" t="inlineStr">
        <is>
          <t>2026-02-05</t>
        </is>
      </c>
      <c r="C23" s="6" t="inlineStr">
        <is>
          <t>12:00</t>
        </is>
      </c>
      <c r="D23" s="7" t="inlineStr">
        <is>
          <t>2 ngày sau Lập Xuân 2026 (~4/2/2026)</t>
        </is>
      </c>
      <c r="E23" s="8" t="inlineStr">
        <is>
          <t>🔴 Năm Trụ boundary</t>
        </is>
      </c>
      <c r="F23" s="9" t="inlineStr">
        <is>
          <t>Bính Ngọ</t>
        </is>
      </c>
      <c r="G23" s="10" t="inlineStr">
        <is>
          <t>?</t>
        </is>
      </c>
      <c r="H23" s="9" t="inlineStr">
        <is>
          <t>Kỷ Mão</t>
        </is>
      </c>
      <c r="I23" s="9" t="inlineStr">
        <is>
          <t>Nhâm Ngọ</t>
        </is>
      </c>
      <c r="J23" s="11" t="inlineStr"/>
      <c r="K23" s="12" t="inlineStr"/>
      <c r="L23" s="12" t="inlineStr"/>
      <c r="M23" s="12" t="inlineStr"/>
      <c r="N23" s="12" t="inlineStr"/>
      <c r="O23" s="11">
        <f>IF(K23="","–",IF(F23=K23,"✓","✗"))</f>
        <v/>
      </c>
      <c r="P23" s="11">
        <f>IF(L23="","–",IF(G23=L23,"✓","✗"))</f>
        <v/>
      </c>
      <c r="Q23" s="11">
        <f>IF(M23="","–",IF(H23=M23,"✓","✗"))</f>
        <v/>
      </c>
      <c r="R23" s="11">
        <f>IF(N23="","–",IF(I23=N23,"✓","✗"))</f>
        <v/>
      </c>
      <c r="S23" s="5">
        <f>IF(OR(K23="",L23="",M23="",N23=""),"Pending",IF(AND(O23="✓",P23="✓",Q23="✓",R23="✓"),"PASS","FAIL"))</f>
        <v/>
      </c>
      <c r="T23" s="7" t="inlineStr">
        <is>
          <t>Năm trụ = Bính Ngọ (2026). Đây là lần đầu tiên năm Bính Ngọ xuất hiện</t>
        </is>
      </c>
    </row>
    <row r="25">
      <c r="A25" s="15" t="inlineStr">
        <is>
          <t>HOW TO USE:  (1) Copy each Birth Date + Time into Joey Yap BaziCalc (bazicalculator.com) or lunarcalendar.me  (2) Paste the 4 pillar results into columns K-N (format: Can Chi, e.g. 'Giáp Tý')  (3) Column S auto-shows PASS/FAIL  |  🔴 = high risk edge case   🟡 = medium   🟢 = basic verification</t>
        </is>
      </c>
    </row>
    <row r="27">
      <c r="A27" s="16" t="inlineStr">
        <is>
          <t>SUMMARY</t>
        </is>
      </c>
      <c r="F27" s="17" t="inlineStr">
        <is>
          <t>Total Tests</t>
        </is>
      </c>
      <c r="G27" s="18">
        <f>COUNTA(B4:B23)</f>
        <v/>
      </c>
      <c r="H27" s="17" t="inlineStr">
        <is>
          <t>PASS</t>
        </is>
      </c>
      <c r="I27" s="18">
        <f>COUNTIF(S4:S23,"PASS")</f>
        <v/>
      </c>
      <c r="J27" s="17" t="inlineStr">
        <is>
          <t>FAIL</t>
        </is>
      </c>
      <c r="K27" s="18">
        <f>COUNTIF(S4:S23,"FAIL")</f>
        <v/>
      </c>
      <c r="L27" s="17" t="inlineStr">
        <is>
          <t>Pending</t>
        </is>
      </c>
      <c r="M27" s="18">
        <f>COUNTIF(S4:S23,"Pending")</f>
        <v/>
      </c>
      <c r="N27" s="17" t="inlineStr">
        <is>
          <t>Pass Rate</t>
        </is>
      </c>
      <c r="O27" s="18">
        <f>IF(H27+J27=0,"N/A",TEXT(H27/(H27+J27),"0%"))</f>
        <v/>
      </c>
    </row>
  </sheetData>
  <mergeCells count="7">
    <mergeCell ref="A1:T1"/>
    <mergeCell ref="O2:S2"/>
    <mergeCell ref="F2:I2"/>
    <mergeCell ref="A25:T25"/>
    <mergeCell ref="K2:N2"/>
    <mergeCell ref="B2:E2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40" customWidth="1" min="7" max="7"/>
  </cols>
  <sheetData>
    <row r="1">
      <c r="A1" s="16" t="inlineStr">
        <is>
          <t>#</t>
        </is>
      </c>
      <c r="B1" s="16" t="inlineStr">
        <is>
          <t>Tiết Khí (VN)</t>
        </is>
      </c>
      <c r="C1" s="16" t="inlineStr">
        <is>
          <t>Chinese</t>
        </is>
      </c>
      <c r="D1" s="16" t="inlineStr">
        <is>
          <t>Approx Date</t>
        </is>
      </c>
      <c r="E1" s="16" t="inlineStr">
        <is>
          <t>Tháng Chi</t>
        </is>
      </c>
      <c r="F1" s="16" t="inlineStr">
        <is>
          <t>Chi Idx</t>
        </is>
      </c>
      <c r="G1" s="16" t="inlineStr">
        <is>
          <t>Note</t>
        </is>
      </c>
    </row>
    <row r="2">
      <c r="A2" s="19" t="n">
        <v>1</v>
      </c>
      <c r="B2" s="19" t="inlineStr">
        <is>
          <t>Tiểu Hàn</t>
        </is>
      </c>
      <c r="C2" s="19" t="inlineStr">
        <is>
          <t>小寒</t>
        </is>
      </c>
      <c r="D2" s="19" t="inlineStr">
        <is>
          <t>~6/1</t>
        </is>
      </c>
      <c r="E2" s="19" t="inlineStr">
        <is>
          <t>Sửu</t>
        </is>
      </c>
      <c r="F2" s="19" t="n">
        <v>1</v>
      </c>
      <c r="G2" s="19" t="inlineStr">
        <is>
          <t>Mở đầu tháng Sửu — Năm cũ</t>
        </is>
      </c>
    </row>
    <row r="3">
      <c r="A3" s="20" t="n">
        <v>2</v>
      </c>
      <c r="B3" s="20" t="inlineStr">
        <is>
          <t>Lập Xuân</t>
        </is>
      </c>
      <c r="C3" s="20" t="inlineStr">
        <is>
          <t>立春</t>
        </is>
      </c>
      <c r="D3" s="20" t="inlineStr">
        <is>
          <t>~4/2</t>
        </is>
      </c>
      <c r="E3" s="20" t="inlineStr">
        <is>
          <t>Dần</t>
        </is>
      </c>
      <c r="F3" s="20" t="n">
        <v>2</v>
      </c>
      <c r="G3" s="20" t="inlineStr">
        <is>
          <t>⭐ Ranh giới NĂM MỚI — Bát Tự</t>
        </is>
      </c>
    </row>
    <row r="4">
      <c r="A4" s="19" t="n">
        <v>3</v>
      </c>
      <c r="B4" s="19" t="inlineStr">
        <is>
          <t>Kinh Trập</t>
        </is>
      </c>
      <c r="C4" s="19" t="inlineStr">
        <is>
          <t>惊蛰</t>
        </is>
      </c>
      <c r="D4" s="19" t="inlineStr">
        <is>
          <t>~6/3</t>
        </is>
      </c>
      <c r="E4" s="19" t="inlineStr">
        <is>
          <t>Mão</t>
        </is>
      </c>
      <c r="F4" s="19" t="n">
        <v>3</v>
      </c>
      <c r="G4" s="19" t="inlineStr">
        <is>
          <t>Tháng Mão</t>
        </is>
      </c>
    </row>
    <row r="5">
      <c r="A5" s="19" t="n">
        <v>4</v>
      </c>
      <c r="B5" s="19" t="inlineStr">
        <is>
          <t>Thanh Minh</t>
        </is>
      </c>
      <c r="C5" s="19" t="inlineStr">
        <is>
          <t>清明</t>
        </is>
      </c>
      <c r="D5" s="19" t="inlineStr">
        <is>
          <t>~5/4</t>
        </is>
      </c>
      <c r="E5" s="19" t="inlineStr">
        <is>
          <t>Thìn</t>
        </is>
      </c>
      <c r="F5" s="19" t="n">
        <v>4</v>
      </c>
      <c r="G5" s="19" t="inlineStr">
        <is>
          <t>Tháng Thìn</t>
        </is>
      </c>
    </row>
    <row r="6">
      <c r="A6" s="19" t="n">
        <v>5</v>
      </c>
      <c r="B6" s="19" t="inlineStr">
        <is>
          <t>Lập Hạ</t>
        </is>
      </c>
      <c r="C6" s="19" t="inlineStr">
        <is>
          <t>立夏</t>
        </is>
      </c>
      <c r="D6" s="19" t="inlineStr">
        <is>
          <t>~6/5</t>
        </is>
      </c>
      <c r="E6" s="19" t="inlineStr">
        <is>
          <t>Tỵ</t>
        </is>
      </c>
      <c r="F6" s="19" t="n">
        <v>5</v>
      </c>
      <c r="G6" s="19" t="inlineStr">
        <is>
          <t>Tháng Tỵ</t>
        </is>
      </c>
    </row>
    <row r="7">
      <c r="A7" s="19" t="n">
        <v>6</v>
      </c>
      <c r="B7" s="19" t="inlineStr">
        <is>
          <t>Mang Chủng</t>
        </is>
      </c>
      <c r="C7" s="19" t="inlineStr">
        <is>
          <t>芒种</t>
        </is>
      </c>
      <c r="D7" s="19" t="inlineStr">
        <is>
          <t>~6/6</t>
        </is>
      </c>
      <c r="E7" s="19" t="inlineStr">
        <is>
          <t>Ngọ</t>
        </is>
      </c>
      <c r="F7" s="19" t="n">
        <v>6</v>
      </c>
      <c r="G7" s="19" t="inlineStr">
        <is>
          <t>Tháng Ngọ</t>
        </is>
      </c>
    </row>
    <row r="8">
      <c r="A8" s="19" t="n">
        <v>7</v>
      </c>
      <c r="B8" s="19" t="inlineStr">
        <is>
          <t>Tiểu Thử</t>
        </is>
      </c>
      <c r="C8" s="19" t="inlineStr">
        <is>
          <t>小暑</t>
        </is>
      </c>
      <c r="D8" s="19" t="inlineStr">
        <is>
          <t>~7/7</t>
        </is>
      </c>
      <c r="E8" s="19" t="inlineStr">
        <is>
          <t>Mùi</t>
        </is>
      </c>
      <c r="F8" s="19" t="n">
        <v>7</v>
      </c>
      <c r="G8" s="19" t="inlineStr">
        <is>
          <t>Tháng Mùi</t>
        </is>
      </c>
    </row>
    <row r="9">
      <c r="A9" s="19" t="n">
        <v>8</v>
      </c>
      <c r="B9" s="19" t="inlineStr">
        <is>
          <t>Lập Thu</t>
        </is>
      </c>
      <c r="C9" s="19" t="inlineStr">
        <is>
          <t>立秋</t>
        </is>
      </c>
      <c r="D9" s="19" t="inlineStr">
        <is>
          <t>~7/8</t>
        </is>
      </c>
      <c r="E9" s="19" t="inlineStr">
        <is>
          <t>Thân</t>
        </is>
      </c>
      <c r="F9" s="19" t="n">
        <v>8</v>
      </c>
      <c r="G9" s="19" t="inlineStr">
        <is>
          <t>Tháng Thân</t>
        </is>
      </c>
    </row>
    <row r="10">
      <c r="A10" s="19" t="n">
        <v>9</v>
      </c>
      <c r="B10" s="19" t="inlineStr">
        <is>
          <t>Bạch Lộ</t>
        </is>
      </c>
      <c r="C10" s="19" t="inlineStr">
        <is>
          <t>白露</t>
        </is>
      </c>
      <c r="D10" s="19" t="inlineStr">
        <is>
          <t>~8/9</t>
        </is>
      </c>
      <c r="E10" s="19" t="inlineStr">
        <is>
          <t>Dậu</t>
        </is>
      </c>
      <c r="F10" s="19" t="n">
        <v>9</v>
      </c>
      <c r="G10" s="19" t="inlineStr">
        <is>
          <t>Tháng Dậu</t>
        </is>
      </c>
    </row>
    <row r="11">
      <c r="A11" s="19" t="n">
        <v>10</v>
      </c>
      <c r="B11" s="19" t="inlineStr">
        <is>
          <t>Hàn Lộ</t>
        </is>
      </c>
      <c r="C11" s="19" t="inlineStr">
        <is>
          <t>寒露</t>
        </is>
      </c>
      <c r="D11" s="19" t="inlineStr">
        <is>
          <t>~8/10</t>
        </is>
      </c>
      <c r="E11" s="19" t="inlineStr">
        <is>
          <t>Tuất</t>
        </is>
      </c>
      <c r="F11" s="19" t="n">
        <v>10</v>
      </c>
      <c r="G11" s="19" t="inlineStr">
        <is>
          <t>Tháng Tuất</t>
        </is>
      </c>
    </row>
    <row r="12">
      <c r="A12" s="19" t="n">
        <v>11</v>
      </c>
      <c r="B12" s="19" t="inlineStr">
        <is>
          <t>Lập Đông</t>
        </is>
      </c>
      <c r="C12" s="19" t="inlineStr">
        <is>
          <t>立冬</t>
        </is>
      </c>
      <c r="D12" s="19" t="inlineStr">
        <is>
          <t>~7/11</t>
        </is>
      </c>
      <c r="E12" s="19" t="inlineStr">
        <is>
          <t>Hợi</t>
        </is>
      </c>
      <c r="F12" s="19" t="n">
        <v>11</v>
      </c>
      <c r="G12" s="19" t="inlineStr">
        <is>
          <t>Tháng Hợi</t>
        </is>
      </c>
    </row>
    <row r="13">
      <c r="A13" s="19" t="n">
        <v>12</v>
      </c>
      <c r="B13" s="19" t="inlineStr">
        <is>
          <t>Đại Tuyết</t>
        </is>
      </c>
      <c r="C13" s="19" t="inlineStr">
        <is>
          <t>大雪</t>
        </is>
      </c>
      <c r="D13" s="19" t="inlineStr">
        <is>
          <t>~7/12</t>
        </is>
      </c>
      <c r="E13" s="19" t="inlineStr">
        <is>
          <t>Tý</t>
        </is>
      </c>
      <c r="F13" s="19" t="n">
        <v>0</v>
      </c>
      <c r="G13" s="19" t="inlineStr">
        <is>
          <t>Tháng Tý — sang Năm mới theo Tiết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0" customHeight="1">
      <c r="A1" s="21" t="inlineStr">
        <is>
          <t>THÁNG CAN — Tra cứu theo Năm Can và Tháng Chi</t>
        </is>
      </c>
    </row>
    <row r="3">
      <c r="A3" s="22" t="inlineStr">
        <is>
          <t>Năm Can</t>
        </is>
      </c>
      <c r="B3" s="4" t="inlineStr">
        <is>
          <t>Tháng Dần</t>
        </is>
      </c>
      <c r="C3" s="4" t="inlineStr">
        <is>
          <t>Tháng Mão</t>
        </is>
      </c>
      <c r="D3" s="4" t="inlineStr">
        <is>
          <t>Tháng Thìn</t>
        </is>
      </c>
      <c r="E3" s="4" t="inlineStr">
        <is>
          <t>Tháng Tỵ</t>
        </is>
      </c>
      <c r="F3" s="4" t="inlineStr">
        <is>
          <t>Tháng Ngọ</t>
        </is>
      </c>
      <c r="G3" s="4" t="inlineStr">
        <is>
          <t>Tháng Mùi</t>
        </is>
      </c>
      <c r="H3" s="4" t="inlineStr">
        <is>
          <t>Tháng Thân</t>
        </is>
      </c>
      <c r="I3" s="4" t="inlineStr">
        <is>
          <t>Tháng Dậu</t>
        </is>
      </c>
      <c r="J3" s="4" t="inlineStr">
        <is>
          <t>Tháng Tuất</t>
        </is>
      </c>
      <c r="K3" s="4" t="inlineStr">
        <is>
          <t>Tháng Hợi</t>
        </is>
      </c>
      <c r="L3" s="4" t="inlineStr">
        <is>
          <t>Tháng Tý</t>
        </is>
      </c>
      <c r="M3" s="4" t="inlineStr">
        <is>
          <t>Tháng Sửu</t>
        </is>
      </c>
    </row>
    <row r="4">
      <c r="A4" s="23" t="inlineStr">
        <is>
          <t>Giáp / Kỷ</t>
        </is>
      </c>
      <c r="B4" s="24" t="inlineStr">
        <is>
          <t>Bính Dần</t>
        </is>
      </c>
      <c r="C4" s="11" t="inlineStr">
        <is>
          <t>Đinh Mão</t>
        </is>
      </c>
      <c r="D4" s="11" t="inlineStr">
        <is>
          <t>Mậu Thìn</t>
        </is>
      </c>
      <c r="E4" s="11" t="inlineStr">
        <is>
          <t>Kỷ Tỵ</t>
        </is>
      </c>
      <c r="F4" s="11" t="inlineStr">
        <is>
          <t>Canh Ngọ</t>
        </is>
      </c>
      <c r="G4" s="11" t="inlineStr">
        <is>
          <t>Tân Mùi</t>
        </is>
      </c>
      <c r="H4" s="11" t="inlineStr">
        <is>
          <t>Nhâm Thân</t>
        </is>
      </c>
      <c r="I4" s="11" t="inlineStr">
        <is>
          <t>Quý Dậu</t>
        </is>
      </c>
      <c r="J4" s="11" t="inlineStr">
        <is>
          <t>Giáp Tuất</t>
        </is>
      </c>
      <c r="K4" s="11" t="inlineStr">
        <is>
          <t>Ất Hợi</t>
        </is>
      </c>
      <c r="L4" s="11" t="inlineStr">
        <is>
          <t>Bính Tý</t>
        </is>
      </c>
      <c r="M4" s="11" t="inlineStr">
        <is>
          <t>Đinh Sửu</t>
        </is>
      </c>
    </row>
    <row r="5">
      <c r="A5" s="23" t="inlineStr">
        <is>
          <t>Ất / Canh</t>
        </is>
      </c>
      <c r="B5" s="24" t="inlineStr">
        <is>
          <t>Mậu Dần</t>
        </is>
      </c>
      <c r="C5" s="11" t="inlineStr">
        <is>
          <t>Kỷ Mão</t>
        </is>
      </c>
      <c r="D5" s="11" t="inlineStr">
        <is>
          <t>Canh Thìn</t>
        </is>
      </c>
      <c r="E5" s="11" t="inlineStr">
        <is>
          <t>Tân Tỵ</t>
        </is>
      </c>
      <c r="F5" s="11" t="inlineStr">
        <is>
          <t>Nhâm Ngọ</t>
        </is>
      </c>
      <c r="G5" s="11" t="inlineStr">
        <is>
          <t>Quý Mùi</t>
        </is>
      </c>
      <c r="H5" s="11" t="inlineStr">
        <is>
          <t>Giáp Thân</t>
        </is>
      </c>
      <c r="I5" s="11" t="inlineStr">
        <is>
          <t>Ất Dậu</t>
        </is>
      </c>
      <c r="J5" s="11" t="inlineStr">
        <is>
          <t>Bính Tuất</t>
        </is>
      </c>
      <c r="K5" s="11" t="inlineStr">
        <is>
          <t>Đinh Hợi</t>
        </is>
      </c>
      <c r="L5" s="11" t="inlineStr">
        <is>
          <t>Mậu Tý</t>
        </is>
      </c>
      <c r="M5" s="11" t="inlineStr">
        <is>
          <t>Kỷ Sửu</t>
        </is>
      </c>
    </row>
    <row r="6">
      <c r="A6" s="23" t="inlineStr">
        <is>
          <t>Bính / Tân</t>
        </is>
      </c>
      <c r="B6" s="24" t="inlineStr">
        <is>
          <t>Canh Dần</t>
        </is>
      </c>
      <c r="C6" s="11" t="inlineStr">
        <is>
          <t>Tân Mão</t>
        </is>
      </c>
      <c r="D6" s="11" t="inlineStr">
        <is>
          <t>Nhâm Thìn</t>
        </is>
      </c>
      <c r="E6" s="11" t="inlineStr">
        <is>
          <t>Quý Tỵ</t>
        </is>
      </c>
      <c r="F6" s="11" t="inlineStr">
        <is>
          <t>Giáp Ngọ</t>
        </is>
      </c>
      <c r="G6" s="11" t="inlineStr">
        <is>
          <t>Ất Mùi</t>
        </is>
      </c>
      <c r="H6" s="11" t="inlineStr">
        <is>
          <t>Bính Thân</t>
        </is>
      </c>
      <c r="I6" s="11" t="inlineStr">
        <is>
          <t>Đinh Dậu</t>
        </is>
      </c>
      <c r="J6" s="11" t="inlineStr">
        <is>
          <t>Mậu Tuất</t>
        </is>
      </c>
      <c r="K6" s="11" t="inlineStr">
        <is>
          <t>Kỷ Hợi</t>
        </is>
      </c>
      <c r="L6" s="11" t="inlineStr">
        <is>
          <t>Canh Tý</t>
        </is>
      </c>
      <c r="M6" s="11" t="inlineStr">
        <is>
          <t>Tân Sửu</t>
        </is>
      </c>
    </row>
    <row r="7">
      <c r="A7" s="23" t="inlineStr">
        <is>
          <t>Đinh / Nhâm</t>
        </is>
      </c>
      <c r="B7" s="24" t="inlineStr">
        <is>
          <t>Nhâm Dần</t>
        </is>
      </c>
      <c r="C7" s="11" t="inlineStr">
        <is>
          <t>Quý Mão</t>
        </is>
      </c>
      <c r="D7" s="11" t="inlineStr">
        <is>
          <t>Giáp Thìn</t>
        </is>
      </c>
      <c r="E7" s="11" t="inlineStr">
        <is>
          <t>Ất Tỵ</t>
        </is>
      </c>
      <c r="F7" s="11" t="inlineStr">
        <is>
          <t>Bính Ngọ</t>
        </is>
      </c>
      <c r="G7" s="11" t="inlineStr">
        <is>
          <t>Đinh Mùi</t>
        </is>
      </c>
      <c r="H7" s="11" t="inlineStr">
        <is>
          <t>Mậu Thân</t>
        </is>
      </c>
      <c r="I7" s="11" t="inlineStr">
        <is>
          <t>Kỷ Dậu</t>
        </is>
      </c>
      <c r="J7" s="11" t="inlineStr">
        <is>
          <t>Canh Tuất</t>
        </is>
      </c>
      <c r="K7" s="11" t="inlineStr">
        <is>
          <t>Tân Hợi</t>
        </is>
      </c>
      <c r="L7" s="11" t="inlineStr">
        <is>
          <t>Nhâm Tý</t>
        </is>
      </c>
      <c r="M7" s="11" t="inlineStr">
        <is>
          <t>Quý Sửu</t>
        </is>
      </c>
    </row>
    <row r="8">
      <c r="A8" s="23" t="inlineStr">
        <is>
          <t>Mậu / Quý</t>
        </is>
      </c>
      <c r="B8" s="24" t="inlineStr">
        <is>
          <t>Giáp Dần</t>
        </is>
      </c>
      <c r="C8" s="11" t="inlineStr">
        <is>
          <t>Ất Mão</t>
        </is>
      </c>
      <c r="D8" s="11" t="inlineStr">
        <is>
          <t>Bính Thìn</t>
        </is>
      </c>
      <c r="E8" s="11" t="inlineStr">
        <is>
          <t>Đinh Tỵ</t>
        </is>
      </c>
      <c r="F8" s="11" t="inlineStr">
        <is>
          <t>Mậu Ngọ</t>
        </is>
      </c>
      <c r="G8" s="11" t="inlineStr">
        <is>
          <t>Kỷ Mùi</t>
        </is>
      </c>
      <c r="H8" s="11" t="inlineStr">
        <is>
          <t>Canh Thân</t>
        </is>
      </c>
      <c r="I8" s="11" t="inlineStr">
        <is>
          <t>Tân Dậu</t>
        </is>
      </c>
      <c r="J8" s="11" t="inlineStr">
        <is>
          <t>Nhâm Tuất</t>
        </is>
      </c>
      <c r="K8" s="11" t="inlineStr">
        <is>
          <t>Quý Hợi</t>
        </is>
      </c>
      <c r="L8" s="11" t="inlineStr">
        <is>
          <t>Giáp Tý</t>
        </is>
      </c>
      <c r="M8" s="11" t="inlineStr">
        <is>
          <t>Ất Sửu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2026-03-11T11:37:23Z</dcterms:created>
  <dcterms:modified xmlns:dcterms="http://purl.org/dc/terms/" xmlns:xsi="http://www.w3.org/2001/XMLSchema-instance" xsi:type="dcterms:W3CDTF">2026-03-11T11:37:23Z</dcterms:modified>
</cp:coreProperties>
</file>